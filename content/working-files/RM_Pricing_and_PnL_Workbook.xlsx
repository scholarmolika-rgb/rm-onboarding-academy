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tingTable" sheetId="2" state="visible" r:id="rId4"/>
    <sheet name="DrawingPower" sheetId="3" state="visible" r:id="rId5"/>
    <sheet name="Pricing" sheetId="4" state="visible" r:id="rId6"/>
    <sheet name="RelationshipPn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<sst xmlns="http://schemas.openxmlformats.org/spreadsheetml/2006/main" count="143" uniqueCount="127">
  <si>
    <t xml:space="preserve">RM Pricing &amp; P&amp;L Workbook</t>
  </si>
  <si>
    <t xml:space="preserve">RM Onboarding Academy · Days 6, 17, 19 working file · all amounts in ₹ Crore</t>
  </si>
  <si>
    <t xml:space="preserve">How to use</t>
  </si>
  <si>
    <t xml:space="preserve">Change only the BLUE numbers on yellow cells. Black cells are formulas and recalculate automatically.</t>
  </si>
  <si>
    <t xml:space="preserve">DrawingPower</t>
  </si>
  <si>
    <t xml:space="preserve">Day 6 — compute drawing power and check utilisation against it.</t>
  </si>
  <si>
    <t xml:space="preserve">Pricing</t>
  </si>
  <si>
    <t xml:space="preserve">Day 17 — price one loan: NII, fees, expected loss, capital, RAROC and the minimum rate that meets the hurdle.</t>
  </si>
  <si>
    <t xml:space="preserve">RelationshipPnL</t>
  </si>
  <si>
    <t xml:space="preserve">Day 19 — full relationship P&amp;L across loans, float, fees; relationship RoE vs hurdle.</t>
  </si>
  <si>
    <t xml:space="preserve">RatingTable</t>
  </si>
  <si>
    <t xml:space="preserve">Illustrative rating → risk weight &amp; PD map. Replace with the bank's internal rating scale and approved PDs.</t>
  </si>
  <si>
    <t xml:space="preserve">Disclaimer</t>
  </si>
  <si>
    <t xml:space="preserve">Training figures are illustrative (fictional client). Regulatory parameters (e.g. capital ratio 11.5% = 9% minimum CRAR + 2.5% CCB; tax 25.17%) must be confirmed with Finance before live use.</t>
  </si>
  <si>
    <t xml:space="preserve">Rating → risk weight &amp; PD (illustrative)</t>
  </si>
  <si>
    <t xml:space="preserve">Standardised-approach risk weights for rated corporates; PDs are training placeholders</t>
  </si>
  <si>
    <t xml:space="preserve">Rating</t>
  </si>
  <si>
    <t xml:space="preserve">Risk weight</t>
  </si>
  <si>
    <t xml:space="preserve">PD (1-yr)</t>
  </si>
  <si>
    <t xml:space="preserve">AAA</t>
  </si>
  <si>
    <t xml:space="preserve">AA</t>
  </si>
  <si>
    <t xml:space="preserve">A</t>
  </si>
  <si>
    <t xml:space="preserve">BBB</t>
  </si>
  <si>
    <t xml:space="preserve">BB</t>
  </si>
  <si>
    <t xml:space="preserve">Unrated</t>
  </si>
  <si>
    <t xml:space="preserve">Drawing power calculator</t>
  </si>
  <si>
    <t xml:space="preserve">Day 6 · ₹ Crore</t>
  </si>
  <si>
    <t xml:space="preserve">Inputs (from latest stock statement)</t>
  </si>
  <si>
    <t xml:space="preserve">Sanctioned fund-based limit</t>
  </si>
  <si>
    <t xml:space="preserve">Stock (as per statement)</t>
  </si>
  <si>
    <t xml:space="preserve">Less: obsolete / slow-moving stock</t>
  </si>
  <si>
    <t xml:space="preserve">Exclude stock older than policy threshold</t>
  </si>
  <si>
    <t xml:space="preserve">Receivables (total)</t>
  </si>
  <si>
    <t xml:space="preserve">Less: receivables older than 90 days</t>
  </si>
  <si>
    <t xml:space="preserve">Ageing cut-off per sanction terms</t>
  </si>
  <si>
    <t xml:space="preserve">Trade creditors</t>
  </si>
  <si>
    <t xml:space="preserve">Margin</t>
  </si>
  <si>
    <t xml:space="preserve">Current outstanding in CC account</t>
  </si>
  <si>
    <t xml:space="preserve">Calculation</t>
  </si>
  <si>
    <t xml:space="preserve">Eligible stock</t>
  </si>
  <si>
    <t xml:space="preserve">Eligible receivables</t>
  </si>
  <si>
    <t xml:space="preserve">Paid stock + receivables (net of creditors)</t>
  </si>
  <si>
    <t xml:space="preserve">Drawing power</t>
  </si>
  <si>
    <t xml:space="preserve">(Eligible stock + eligible receivables − creditors) × (1 − margin)</t>
  </si>
  <si>
    <t xml:space="preserve">Available limit = lower of limit and DP</t>
  </si>
  <si>
    <t xml:space="preserve">Headroom / (excess)</t>
  </si>
  <si>
    <t xml:space="preserve">Status</t>
  </si>
  <si>
    <t xml:space="preserve">Loan pricing &amp; RAROC</t>
  </si>
  <si>
    <t xml:space="preserve">Day 17 · single facility · ₹ Crore</t>
  </si>
  <si>
    <t xml:space="preserve">Inputs</t>
  </si>
  <si>
    <t xml:space="preserve">Loan amount (EAD)</t>
  </si>
  <si>
    <t xml:space="preserve">Customer interest rate</t>
  </si>
  <si>
    <t xml:space="preserve">FTP (cost of funds to the business)</t>
  </si>
  <si>
    <t xml:space="preserve">From Treasury FTP curve for the tenor</t>
  </si>
  <si>
    <t xml:space="preserve">Processing fee (% of amount, one-time)</t>
  </si>
  <si>
    <t xml:space="preserve">Tenor (years)</t>
  </si>
  <si>
    <t xml:space="preserve">Fee amortised over tenor</t>
  </si>
  <si>
    <t xml:space="preserve">Internal rating</t>
  </si>
  <si>
    <t xml:space="preserve">Pick from RatingTable</t>
  </si>
  <si>
    <t xml:space="preserve">LGD</t>
  </si>
  <si>
    <t xml:space="preserve">Senior secured corporate; adjust for collateral</t>
  </si>
  <si>
    <t xml:space="preserve">Capital ratio (CRAR incl. CCB)</t>
  </si>
  <si>
    <t xml:space="preserve">9% min CRAR + 2.5% CCB — confirm with Finance</t>
  </si>
  <si>
    <t xml:space="preserve">Cost-to-income ratio</t>
  </si>
  <si>
    <t xml:space="preserve">Tax rate</t>
  </si>
  <si>
    <t xml:space="preserve">Hurdle rate (RAROC)</t>
  </si>
  <si>
    <t xml:space="preserve">Bank-set</t>
  </si>
  <si>
    <t xml:space="preserve">Looked-up risk parameters</t>
  </si>
  <si>
    <t xml:space="preserve">PD (1-year)</t>
  </si>
  <si>
    <t xml:space="preserve">From RatingTable</t>
  </si>
  <si>
    <t xml:space="preserve">Annual P&amp;L of the facility</t>
  </si>
  <si>
    <t xml:space="preserve">Net interest income</t>
  </si>
  <si>
    <t xml:space="preserve">(Rate − FTP) × amount</t>
  </si>
  <si>
    <t xml:space="preserve">Fee income (annualised)</t>
  </si>
  <si>
    <t xml:space="preserve">Total income</t>
  </si>
  <si>
    <t xml:space="preserve">Operating cost</t>
  </si>
  <si>
    <t xml:space="preserve">Expected loss</t>
  </si>
  <si>
    <t xml:space="preserve">PD × LGD × EAD</t>
  </si>
  <si>
    <t xml:space="preserve">Profit before tax</t>
  </si>
  <si>
    <t xml:space="preserve">Tax</t>
  </si>
  <si>
    <t xml:space="preserve">Profit after tax</t>
  </si>
  <si>
    <t xml:space="preserve">Capital &amp; return</t>
  </si>
  <si>
    <t xml:space="preserve">Risk-weighted assets</t>
  </si>
  <si>
    <t xml:space="preserve">Capital allocated</t>
  </si>
  <si>
    <t xml:space="preserve">RAROC</t>
  </si>
  <si>
    <t xml:space="preserve">PAT ÷ allocated capital</t>
  </si>
  <si>
    <t xml:space="preserve">Verdict</t>
  </si>
  <si>
    <t xml:space="preserve">Minimum rate to meet hurdle</t>
  </si>
  <si>
    <t xml:space="preserve">Solves RAROC = hurdle for the interest rate</t>
  </si>
  <si>
    <t xml:space="preserve">Gap to current rate (bps)</t>
  </si>
  <si>
    <t xml:space="preserve">Positive = rate must rise; negative = room to negotiate</t>
  </si>
  <si>
    <t xml:space="preserve">Relationship P&amp;L — Apex Auto Components (fictional)</t>
  </si>
  <si>
    <t xml:space="preserve">Day 19 · annual · ₹ Crore</t>
  </si>
  <si>
    <t xml:space="preserve">Assumptions</t>
  </si>
  <si>
    <t xml:space="preserve">Capital ratio</t>
  </si>
  <si>
    <t xml:space="preserve">Cost-to-income</t>
  </si>
  <si>
    <t xml:space="preserve">Hurdle RoE</t>
  </si>
  <si>
    <t xml:space="preserve">CCF — LC / BG (non-fund)</t>
  </si>
  <si>
    <t xml:space="preserve">Credit conversion factor; confirm per product</t>
  </si>
  <si>
    <t xml:space="preserve">PD</t>
  </si>
  <si>
    <t xml:space="preserve">Line</t>
  </si>
  <si>
    <t xml:space="preserve">Avg balance / limit</t>
  </si>
  <si>
    <t xml:space="preserve">Yield / fee rate</t>
  </si>
  <si>
    <t xml:space="preserve">FTP / credit rate</t>
  </si>
  <si>
    <t xml:space="preserve">Utilisation</t>
  </si>
  <si>
    <t xml:space="preserve">Annual income</t>
  </si>
  <si>
    <t xml:space="preserve">Exposure for capital</t>
  </si>
  <si>
    <t xml:space="preserve">Cash credit</t>
  </si>
  <si>
    <t xml:space="preserve">WCDL</t>
  </si>
  <si>
    <t xml:space="preserve">Term loan (capex)</t>
  </si>
  <si>
    <t xml:space="preserve">Current account float</t>
  </si>
  <si>
    <t xml:space="preserve">Fixed deposits</t>
  </si>
  <si>
    <t xml:space="preserve">Import LC</t>
  </si>
  <si>
    <t xml:space="preserve">Performance BG</t>
  </si>
  <si>
    <t xml:space="preserve">CMS &amp; payroll fees</t>
  </si>
  <si>
    <t xml:space="preserve">FX conversion income</t>
  </si>
  <si>
    <t xml:space="preserve">Processing fees (annualised)</t>
  </si>
  <si>
    <t xml:space="preserve">Relationship P&amp;L</t>
  </si>
  <si>
    <t xml:space="preserve">Net interest income (loans)</t>
  </si>
  <si>
    <t xml:space="preserve">Liability / float income</t>
  </si>
  <si>
    <t xml:space="preserve">Fee &amp; FX income</t>
  </si>
  <si>
    <t xml:space="preserve">PD × LGD × credit exposure</t>
  </si>
  <si>
    <t xml:space="preserve">Allocated capital</t>
  </si>
  <si>
    <t xml:space="preserve">Relationship RoE</t>
  </si>
  <si>
    <t xml:space="preserve">Loans-only RoE (for comparison)</t>
  </si>
  <si>
    <t xml:space="preserve">Shows how fee &amp; float lift returns</t>
  </si>
  <si>
    <t xml:space="preserve">Share of income from fee &amp; float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</si>
</sst>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%"/>
    <numFmt numFmtId="167" formatCode="#,##0.00;\(#,##0.00\);\-"/>
    <numFmt numFmtId="168" formatCode="0.00%;\(0.00%\);\-"/>
    <numFmt numFmtId="169" formatCode="0"/>
    <numFmt numFmtId="170" formatCode="0;\(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263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C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C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226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6.8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6.85" hidden="false" customHeight="false" outlineLevel="0" collapsed="false">
      <c r="A8" s="3" t="s">
        <v>10</v>
      </c>
      <c r="B8" s="4" t="s">
        <v>11</v>
      </c>
    </row>
    <row r="9" customFormat="false" ht="26.85" hidden="false" customHeight="false" outlineLevel="0" collapsed="false">
      <c r="A9" s="3" t="s">
        <v>12</v>
      </c>
      <c r="B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</row>
    <row r="5" customFormat="false" ht="15" hidden="false" customHeight="false" outlineLevel="0" collapsed="false">
      <c r="A5" s="6" t="s">
        <v>19</v>
      </c>
      <c r="B5" s="7" t="n">
        <v>0.2</v>
      </c>
      <c r="C5" s="8" t="n">
        <v>0.0005</v>
      </c>
    </row>
    <row r="6" customFormat="false" ht="15" hidden="false" customHeight="false" outlineLevel="0" collapsed="false">
      <c r="A6" s="6" t="s">
        <v>20</v>
      </c>
      <c r="B6" s="7" t="n">
        <v>0.3</v>
      </c>
      <c r="C6" s="8" t="n">
        <v>0.001</v>
      </c>
    </row>
    <row r="7" customFormat="false" ht="15" hidden="false" customHeight="false" outlineLevel="0" collapsed="false">
      <c r="A7" s="6" t="s">
        <v>21</v>
      </c>
      <c r="B7" s="7" t="n">
        <v>0.5</v>
      </c>
      <c r="C7" s="8" t="n">
        <v>0.004</v>
      </c>
    </row>
    <row r="8" customFormat="false" ht="15" hidden="false" customHeight="false" outlineLevel="0" collapsed="false">
      <c r="A8" s="6" t="s">
        <v>22</v>
      </c>
      <c r="B8" s="7" t="n">
        <v>1</v>
      </c>
      <c r="C8" s="8" t="n">
        <v>0.015</v>
      </c>
    </row>
    <row r="9" customFormat="false" ht="15" hidden="false" customHeight="false" outlineLevel="0" collapsed="false">
      <c r="A9" s="6" t="s">
        <v>23</v>
      </c>
      <c r="B9" s="7" t="n">
        <v>1.5</v>
      </c>
      <c r="C9" s="8" t="n">
        <v>0.04</v>
      </c>
    </row>
    <row r="10" customFormat="false" ht="15" hidden="false" customHeight="false" outlineLevel="0" collapsed="false">
      <c r="A10" s="6" t="s">
        <v>24</v>
      </c>
      <c r="B10" s="7" t="n">
        <v>1</v>
      </c>
      <c r="C10" s="8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5" t="s">
        <v>27</v>
      </c>
      <c r="B4" s="9"/>
      <c r="C4" s="9"/>
    </row>
    <row r="5" customFormat="false" ht="15" hidden="false" customHeight="false" outlineLevel="0" collapsed="false">
      <c r="A5" s="6" t="s">
        <v>28</v>
      </c>
      <c r="B5" s="10" t="n">
        <v>100</v>
      </c>
    </row>
    <row r="6" customFormat="false" ht="15" hidden="false" customHeight="false" outlineLevel="0" collapsed="false">
      <c r="A6" s="6" t="s">
        <v>29</v>
      </c>
      <c r="B6" s="10" t="n">
        <v>110</v>
      </c>
    </row>
    <row r="7" customFormat="false" ht="15" hidden="false" customHeight="false" outlineLevel="0" collapsed="false">
      <c r="A7" s="6" t="s">
        <v>30</v>
      </c>
      <c r="B7" s="10" t="n">
        <v>10</v>
      </c>
      <c r="C7" s="11" t="s">
        <v>31</v>
      </c>
    </row>
    <row r="8" customFormat="false" ht="15" hidden="false" customHeight="false" outlineLevel="0" collapsed="false">
      <c r="A8" s="6" t="s">
        <v>32</v>
      </c>
      <c r="B8" s="10" t="n">
        <v>75</v>
      </c>
    </row>
    <row r="9" customFormat="false" ht="15" hidden="false" customHeight="false" outlineLevel="0" collapsed="false">
      <c r="A9" s="6" t="s">
        <v>33</v>
      </c>
      <c r="B9" s="10" t="n">
        <v>15</v>
      </c>
      <c r="C9" s="11" t="s">
        <v>34</v>
      </c>
    </row>
    <row r="10" customFormat="false" ht="15" hidden="false" customHeight="false" outlineLevel="0" collapsed="false">
      <c r="A10" s="6" t="s">
        <v>35</v>
      </c>
      <c r="B10" s="10" t="n">
        <v>40</v>
      </c>
    </row>
    <row r="11" customFormat="false" ht="15" hidden="false" customHeight="false" outlineLevel="0" collapsed="false">
      <c r="A11" s="6" t="s">
        <v>36</v>
      </c>
      <c r="B11" s="12" t="n">
        <v>0.25</v>
      </c>
    </row>
    <row r="12" customFormat="false" ht="15" hidden="false" customHeight="false" outlineLevel="0" collapsed="false">
      <c r="A12" s="6" t="s">
        <v>37</v>
      </c>
      <c r="B12" s="10" t="n">
        <v>92</v>
      </c>
    </row>
    <row r="14" customFormat="false" ht="15" hidden="false" customHeight="false" outlineLevel="0" collapsed="false">
      <c r="A14" s="5" t="s">
        <v>38</v>
      </c>
      <c r="B14" s="9"/>
      <c r="C14" s="9"/>
    </row>
    <row r="15" customFormat="false" ht="15" hidden="false" customHeight="false" outlineLevel="0" collapsed="false">
      <c r="A15" s="6" t="s">
        <v>39</v>
      </c>
      <c r="B15" s="13" t="n">
        <f aca="false">B6-B7</f>
        <v>100</v>
      </c>
    </row>
    <row r="16" customFormat="false" ht="15" hidden="false" customHeight="false" outlineLevel="0" collapsed="false">
      <c r="A16" s="6" t="s">
        <v>40</v>
      </c>
      <c r="B16" s="13" t="n">
        <f aca="false">B8-B9</f>
        <v>60</v>
      </c>
    </row>
    <row r="17" customFormat="false" ht="15" hidden="false" customHeight="false" outlineLevel="0" collapsed="false">
      <c r="A17" s="6" t="s">
        <v>41</v>
      </c>
      <c r="B17" s="13" t="n">
        <f aca="false">B15+B16-B10</f>
        <v>120</v>
      </c>
    </row>
    <row r="18" customFormat="false" ht="15" hidden="false" customHeight="false" outlineLevel="0" collapsed="false">
      <c r="A18" s="3" t="s">
        <v>42</v>
      </c>
      <c r="B18" s="14" t="n">
        <f aca="false">MAX(0,B17*(1-B11))</f>
        <v>90</v>
      </c>
      <c r="C18" s="11" t="s">
        <v>43</v>
      </c>
    </row>
    <row r="19" customFormat="false" ht="15" hidden="false" customHeight="false" outlineLevel="0" collapsed="false">
      <c r="A19" s="3" t="s">
        <v>44</v>
      </c>
      <c r="B19" s="14" t="n">
        <f aca="false">MIN(B5,B18)</f>
        <v>90</v>
      </c>
    </row>
    <row r="20" customFormat="false" ht="15" hidden="false" customHeight="false" outlineLevel="0" collapsed="false">
      <c r="A20" s="6" t="s">
        <v>45</v>
      </c>
      <c r="B20" s="13" t="n">
        <f aca="false">B19-B12</f>
        <v>-2</v>
      </c>
    </row>
    <row r="21" customFormat="false" ht="15" hidden="false" customHeight="false" outlineLevel="0" collapsed="false">
      <c r="A21" s="3" t="s">
        <v>46</v>
      </c>
      <c r="B21" s="3" t="str">
        <f aca="false">IF(B12&gt;B19,"OVER DP — raise EWS, seek regularisation","Within drawing power")</f>
        <v>OVER DP — raise EWS, seek regularisation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5" t="s">
        <v>49</v>
      </c>
      <c r="B4" s="9"/>
      <c r="C4" s="9"/>
    </row>
    <row r="5" customFormat="false" ht="15" hidden="false" customHeight="false" outlineLevel="0" collapsed="false">
      <c r="A5" s="6" t="s">
        <v>50</v>
      </c>
      <c r="B5" s="10" t="n">
        <v>50</v>
      </c>
    </row>
    <row r="6" customFormat="false" ht="15" hidden="false" customHeight="false" outlineLevel="0" collapsed="false">
      <c r="A6" s="6" t="s">
        <v>51</v>
      </c>
      <c r="B6" s="12" t="n">
        <v>0.095</v>
      </c>
    </row>
    <row r="7" customFormat="false" ht="15" hidden="false" customHeight="false" outlineLevel="0" collapsed="false">
      <c r="A7" s="6" t="s">
        <v>52</v>
      </c>
      <c r="B7" s="12" t="n">
        <v>0.07</v>
      </c>
      <c r="C7" s="11" t="s">
        <v>53</v>
      </c>
    </row>
    <row r="8" customFormat="false" ht="15" hidden="false" customHeight="false" outlineLevel="0" collapsed="false">
      <c r="A8" s="6" t="s">
        <v>54</v>
      </c>
      <c r="B8" s="12" t="n">
        <v>0.005</v>
      </c>
    </row>
    <row r="9" customFormat="false" ht="15" hidden="false" customHeight="false" outlineLevel="0" collapsed="false">
      <c r="A9" s="6" t="s">
        <v>55</v>
      </c>
      <c r="B9" s="15" t="n">
        <v>3</v>
      </c>
      <c r="C9" s="11" t="s">
        <v>56</v>
      </c>
    </row>
    <row r="10" customFormat="false" ht="15" hidden="false" customHeight="false" outlineLevel="0" collapsed="false">
      <c r="A10" s="6" t="s">
        <v>57</v>
      </c>
      <c r="B10" s="16" t="s">
        <v>21</v>
      </c>
      <c r="C10" s="11" t="s">
        <v>58</v>
      </c>
    </row>
    <row r="11" customFormat="false" ht="15" hidden="false" customHeight="false" outlineLevel="0" collapsed="false">
      <c r="A11" s="6" t="s">
        <v>59</v>
      </c>
      <c r="B11" s="12" t="n">
        <v>0.45</v>
      </c>
      <c r="C11" s="11" t="s">
        <v>60</v>
      </c>
    </row>
    <row r="12" customFormat="false" ht="15" hidden="false" customHeight="false" outlineLevel="0" collapsed="false">
      <c r="A12" s="6" t="s">
        <v>61</v>
      </c>
      <c r="B12" s="12" t="n">
        <v>0.115</v>
      </c>
      <c r="C12" s="11" t="s">
        <v>62</v>
      </c>
    </row>
    <row r="13" customFormat="false" ht="15" hidden="false" customHeight="false" outlineLevel="0" collapsed="false">
      <c r="A13" s="6" t="s">
        <v>63</v>
      </c>
      <c r="B13" s="12" t="n">
        <v>0.35</v>
      </c>
    </row>
    <row r="14" customFormat="false" ht="15" hidden="false" customHeight="false" outlineLevel="0" collapsed="false">
      <c r="A14" s="6" t="s">
        <v>64</v>
      </c>
      <c r="B14" s="12" t="n">
        <v>0.2517</v>
      </c>
    </row>
    <row r="15" customFormat="false" ht="15" hidden="false" customHeight="false" outlineLevel="0" collapsed="false">
      <c r="A15" s="6" t="s">
        <v>65</v>
      </c>
      <c r="B15" s="12" t="n">
        <v>0.15</v>
      </c>
      <c r="C15" s="11" t="s">
        <v>66</v>
      </c>
    </row>
    <row r="17" customFormat="false" ht="15" hidden="false" customHeight="false" outlineLevel="0" collapsed="false">
      <c r="A17" s="5" t="s">
        <v>67</v>
      </c>
      <c r="B17" s="9"/>
      <c r="C17" s="9"/>
    </row>
    <row r="18" customFormat="false" ht="15" hidden="false" customHeight="false" outlineLevel="0" collapsed="false">
      <c r="A18" s="6" t="s">
        <v>68</v>
      </c>
      <c r="B18" s="17" t="n">
        <f aca="false">INDEX(RatingTable!$C$5:$C$10,MATCH(B10,RatingTable!$A$5:$A$10,0))</f>
        <v>0.004</v>
      </c>
      <c r="C18" s="11" t="s">
        <v>69</v>
      </c>
    </row>
    <row r="19" customFormat="false" ht="15" hidden="false" customHeight="false" outlineLevel="0" collapsed="false">
      <c r="A19" s="6" t="s">
        <v>17</v>
      </c>
      <c r="B19" s="18" t="n">
        <f aca="false">INDEX(RatingTable!$B$5:$B$10,MATCH(B10,RatingTable!$A$5:$A$10,0))</f>
        <v>0.5</v>
      </c>
    </row>
    <row r="21" customFormat="false" ht="15" hidden="false" customHeight="false" outlineLevel="0" collapsed="false">
      <c r="A21" s="5" t="s">
        <v>70</v>
      </c>
      <c r="B21" s="9"/>
      <c r="C21" s="9"/>
    </row>
    <row r="22" customFormat="false" ht="15" hidden="false" customHeight="false" outlineLevel="0" collapsed="false">
      <c r="A22" s="6" t="s">
        <v>71</v>
      </c>
      <c r="B22" s="13" t="n">
        <f aca="false">B5*(B6-B7)</f>
        <v>1.25</v>
      </c>
      <c r="C22" s="11" t="s">
        <v>72</v>
      </c>
    </row>
    <row r="23" customFormat="false" ht="15" hidden="false" customHeight="false" outlineLevel="0" collapsed="false">
      <c r="A23" s="6" t="s">
        <v>73</v>
      </c>
      <c r="B23" s="13" t="n">
        <f aca="false">IF(B9&gt;0,B5*B8/B9,0)</f>
        <v>0.0833333333333333</v>
      </c>
    </row>
    <row r="24" customFormat="false" ht="15" hidden="false" customHeight="false" outlineLevel="0" collapsed="false">
      <c r="A24" s="3" t="s">
        <v>74</v>
      </c>
      <c r="B24" s="14" t="n">
        <f aca="false">B22+B23</f>
        <v>1.33333333333333</v>
      </c>
    </row>
    <row r="25" customFormat="false" ht="15" hidden="false" customHeight="false" outlineLevel="0" collapsed="false">
      <c r="A25" s="6" t="s">
        <v>75</v>
      </c>
      <c r="B25" s="13" t="n">
        <f aca="false">B24*B13</f>
        <v>0.466666666666667</v>
      </c>
    </row>
    <row r="26" customFormat="false" ht="15" hidden="false" customHeight="false" outlineLevel="0" collapsed="false">
      <c r="A26" s="6" t="s">
        <v>76</v>
      </c>
      <c r="B26" s="13" t="n">
        <f aca="false">B18*B11*B5</f>
        <v>0.09</v>
      </c>
      <c r="C26" s="11" t="s">
        <v>77</v>
      </c>
    </row>
    <row r="27" customFormat="false" ht="15" hidden="false" customHeight="false" outlineLevel="0" collapsed="false">
      <c r="A27" s="6" t="s">
        <v>78</v>
      </c>
      <c r="B27" s="13" t="n">
        <f aca="false">B24-B25-B26</f>
        <v>0.776666666666667</v>
      </c>
    </row>
    <row r="28" customFormat="false" ht="15" hidden="false" customHeight="false" outlineLevel="0" collapsed="false">
      <c r="A28" s="6" t="s">
        <v>79</v>
      </c>
      <c r="B28" s="13" t="n">
        <f aca="false">MAX(0,B27*B14)</f>
        <v>0.195487</v>
      </c>
    </row>
    <row r="29" customFormat="false" ht="15" hidden="false" customHeight="false" outlineLevel="0" collapsed="false">
      <c r="A29" s="3" t="s">
        <v>80</v>
      </c>
      <c r="B29" s="14" t="n">
        <f aca="false">B27-B28</f>
        <v>0.581179666666667</v>
      </c>
    </row>
    <row r="31" customFormat="false" ht="15" hidden="false" customHeight="false" outlineLevel="0" collapsed="false">
      <c r="A31" s="5" t="s">
        <v>81</v>
      </c>
      <c r="B31" s="9"/>
      <c r="C31" s="9"/>
    </row>
    <row r="32" customFormat="false" ht="15" hidden="false" customHeight="false" outlineLevel="0" collapsed="false">
      <c r="A32" s="6" t="s">
        <v>82</v>
      </c>
      <c r="B32" s="13" t="n">
        <f aca="false">B5*B19</f>
        <v>25</v>
      </c>
    </row>
    <row r="33" customFormat="false" ht="15" hidden="false" customHeight="false" outlineLevel="0" collapsed="false">
      <c r="A33" s="6" t="s">
        <v>83</v>
      </c>
      <c r="B33" s="13" t="n">
        <f aca="false">B32*B12</f>
        <v>2.875</v>
      </c>
    </row>
    <row r="34" customFormat="false" ht="15" hidden="false" customHeight="false" outlineLevel="0" collapsed="false">
      <c r="A34" s="3" t="s">
        <v>84</v>
      </c>
      <c r="B34" s="19" t="n">
        <f aca="false">IF(B33&gt;0,B29/B33,0)</f>
        <v>0.202149449275362</v>
      </c>
      <c r="C34" s="11" t="s">
        <v>85</v>
      </c>
    </row>
    <row r="35" customFormat="false" ht="15" hidden="false" customHeight="false" outlineLevel="0" collapsed="false">
      <c r="A35" s="3" t="s">
        <v>86</v>
      </c>
      <c r="B35" s="3" t="str">
        <f aca="false">IF(B34&gt;=B15,"Meets hurdle","Below hurdle — reprice or add fee/float business")</f>
        <v>Meets hurdle</v>
      </c>
    </row>
    <row r="36" customFormat="false" ht="15" hidden="false" customHeight="false" outlineLevel="0" collapsed="false">
      <c r="A36" s="3" t="s">
        <v>87</v>
      </c>
      <c r="B36" s="19" t="n">
        <f aca="false">B7+((B15*B33/(1-B14)+B26)/(1-B13)-B23)/B5</f>
        <v>0.0888350654646258</v>
      </c>
      <c r="C36" s="11" t="s">
        <v>88</v>
      </c>
    </row>
    <row r="37" customFormat="false" ht="15" hidden="false" customHeight="false" outlineLevel="0" collapsed="false">
      <c r="A37" s="6" t="s">
        <v>89</v>
      </c>
      <c r="B37" s="20" t="n">
        <f aca="false">(B36-B6)*10000</f>
        <v>-61.649345353742</v>
      </c>
      <c r="C37" s="11" t="s">
        <v>90</v>
      </c>
    </row>
  </sheetData>
  <dataValidations count="1">
    <dataValidation allowBlank="false" errorStyle="stop" operator="between" showDropDown="false" showErrorMessage="false" showInputMessage="false" sqref="B10" type="list">
      <formula1>RatingTable!$A$5:$A$10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5" t="s">
        <v>93</v>
      </c>
      <c r="B4" s="9"/>
      <c r="C4" s="9"/>
    </row>
    <row r="5" customFormat="false" ht="15" hidden="false" customHeight="false" outlineLevel="0" collapsed="false">
      <c r="A5" s="6" t="s">
        <v>57</v>
      </c>
      <c r="B5" s="16" t="s">
        <v>21</v>
      </c>
    </row>
    <row r="6" customFormat="false" ht="15" hidden="false" customHeight="false" outlineLevel="0" collapsed="false">
      <c r="A6" s="6" t="s">
        <v>59</v>
      </c>
      <c r="B6" s="12" t="n">
        <v>0.45</v>
      </c>
    </row>
    <row r="7" customFormat="false" ht="15" hidden="false" customHeight="false" outlineLevel="0" collapsed="false">
      <c r="A7" s="6" t="s">
        <v>94</v>
      </c>
      <c r="B7" s="12" t="n">
        <v>0.115</v>
      </c>
    </row>
    <row r="8" customFormat="false" ht="15" hidden="false" customHeight="false" outlineLevel="0" collapsed="false">
      <c r="A8" s="6" t="s">
        <v>95</v>
      </c>
      <c r="B8" s="12" t="n">
        <v>0.35</v>
      </c>
    </row>
    <row r="9" customFormat="false" ht="15" hidden="false" customHeight="false" outlineLevel="0" collapsed="false">
      <c r="A9" s="6" t="s">
        <v>64</v>
      </c>
      <c r="B9" s="12" t="n">
        <v>0.2517</v>
      </c>
    </row>
    <row r="10" customFormat="false" ht="15" hidden="false" customHeight="false" outlineLevel="0" collapsed="false">
      <c r="A10" s="6" t="s">
        <v>96</v>
      </c>
      <c r="B10" s="12" t="n">
        <v>0.15</v>
      </c>
    </row>
    <row r="11" customFormat="false" ht="15" hidden="false" customHeight="false" outlineLevel="0" collapsed="false">
      <c r="A11" s="6" t="s">
        <v>97</v>
      </c>
      <c r="B11" s="12" t="n">
        <v>0.2</v>
      </c>
      <c r="C11" s="11" t="s">
        <v>98</v>
      </c>
    </row>
    <row r="12" customFormat="false" ht="15" hidden="false" customHeight="false" outlineLevel="0" collapsed="false">
      <c r="A12" s="6" t="s">
        <v>99</v>
      </c>
      <c r="B12" s="21" t="n">
        <f aca="false">INDEX(RatingTable!$C$5:$C$10,MATCH(B5,RatingTable!$A$5:$A$10,0))</f>
        <v>0.004</v>
      </c>
    </row>
    <row r="13" customFormat="false" ht="15" hidden="false" customHeight="false" outlineLevel="0" collapsed="false">
      <c r="A13" s="6" t="s">
        <v>17</v>
      </c>
      <c r="B13" s="22" t="n">
        <f aca="false">INDEX(RatingTable!$B$5:$B$10,MATCH(B5,RatingTable!$A$5:$A$10,0))</f>
        <v>0.5</v>
      </c>
    </row>
    <row r="15" customFormat="false" ht="26.85" hidden="false" customHeight="false" outlineLevel="0" collapsed="false">
      <c r="A15" s="23" t="s">
        <v>100</v>
      </c>
      <c r="B15" s="23" t="s">
        <v>101</v>
      </c>
      <c r="C15" s="23" t="s">
        <v>102</v>
      </c>
      <c r="D15" s="23" t="s">
        <v>103</v>
      </c>
      <c r="E15" s="23" t="s">
        <v>104</v>
      </c>
      <c r="F15" s="23" t="s">
        <v>105</v>
      </c>
      <c r="G15" s="23" t="s">
        <v>106</v>
      </c>
    </row>
    <row r="16" customFormat="false" ht="15" hidden="false" customHeight="false" outlineLevel="0" collapsed="false">
      <c r="A16" s="6" t="s">
        <v>107</v>
      </c>
      <c r="B16" s="10" t="n">
        <v>60</v>
      </c>
      <c r="C16" s="12" t="n">
        <v>0.0925</v>
      </c>
      <c r="D16" s="12" t="n">
        <v>0.07</v>
      </c>
      <c r="E16" s="24" t="n">
        <v>1</v>
      </c>
      <c r="F16" s="13" t="n">
        <f aca="false">B16*(C16-D16)</f>
        <v>1.35</v>
      </c>
      <c r="G16" s="13" t="n">
        <f aca="false">B16</f>
        <v>60</v>
      </c>
    </row>
    <row r="17" customFormat="false" ht="15" hidden="false" customHeight="false" outlineLevel="0" collapsed="false">
      <c r="A17" s="6" t="s">
        <v>108</v>
      </c>
      <c r="B17" s="10" t="n">
        <v>25</v>
      </c>
      <c r="C17" s="12" t="n">
        <v>0.085</v>
      </c>
      <c r="D17" s="12" t="n">
        <v>0.07</v>
      </c>
      <c r="E17" s="24" t="n">
        <v>1</v>
      </c>
      <c r="F17" s="13" t="n">
        <f aca="false">B17*(C17-D17)</f>
        <v>0.375</v>
      </c>
      <c r="G17" s="13" t="n">
        <f aca="false">B17</f>
        <v>25</v>
      </c>
    </row>
    <row r="18" customFormat="false" ht="15" hidden="false" customHeight="false" outlineLevel="0" collapsed="false">
      <c r="A18" s="6" t="s">
        <v>109</v>
      </c>
      <c r="B18" s="10" t="n">
        <v>40</v>
      </c>
      <c r="C18" s="12" t="n">
        <v>0.095</v>
      </c>
      <c r="D18" s="12" t="n">
        <v>0.0725</v>
      </c>
      <c r="E18" s="24" t="n">
        <v>1</v>
      </c>
      <c r="F18" s="13" t="n">
        <f aca="false">B18*(C18-D18)</f>
        <v>0.9</v>
      </c>
      <c r="G18" s="13" t="n">
        <f aca="false">B18</f>
        <v>40</v>
      </c>
    </row>
    <row r="19" customFormat="false" ht="15" hidden="false" customHeight="false" outlineLevel="0" collapsed="false">
      <c r="A19" s="6" t="s">
        <v>110</v>
      </c>
      <c r="B19" s="10" t="n">
        <v>18</v>
      </c>
      <c r="C19" s="12" t="n">
        <v>0</v>
      </c>
      <c r="D19" s="12" t="n">
        <v>0.06</v>
      </c>
      <c r="E19" s="24" t="n">
        <v>1</v>
      </c>
      <c r="F19" s="13" t="n">
        <f aca="false">B19*(D19-C19)</f>
        <v>1.08</v>
      </c>
      <c r="G19" s="13" t="n">
        <f aca="false">0</f>
        <v>0</v>
      </c>
    </row>
    <row r="20" customFormat="false" ht="15" hidden="false" customHeight="false" outlineLevel="0" collapsed="false">
      <c r="A20" s="6" t="s">
        <v>111</v>
      </c>
      <c r="B20" s="10" t="n">
        <v>30</v>
      </c>
      <c r="C20" s="12" t="n">
        <v>0.065</v>
      </c>
      <c r="D20" s="12" t="n">
        <v>0.07</v>
      </c>
      <c r="E20" s="24" t="n">
        <v>1</v>
      </c>
      <c r="F20" s="13" t="n">
        <f aca="false">B20*(D20-C20)</f>
        <v>0.15</v>
      </c>
      <c r="G20" s="13" t="n">
        <f aca="false">0</f>
        <v>0</v>
      </c>
    </row>
    <row r="21" customFormat="false" ht="15" hidden="false" customHeight="false" outlineLevel="0" collapsed="false">
      <c r="A21" s="6" t="s">
        <v>112</v>
      </c>
      <c r="B21" s="10" t="n">
        <v>50</v>
      </c>
      <c r="C21" s="12" t="n">
        <v>0.005</v>
      </c>
      <c r="D21" s="12" t="n">
        <v>0</v>
      </c>
      <c r="E21" s="24" t="n">
        <v>0.6</v>
      </c>
      <c r="F21" s="13" t="n">
        <f aca="false">B21*E21*C21</f>
        <v>0.15</v>
      </c>
      <c r="G21" s="13" t="n">
        <f aca="false">B21*E21*$B$11</f>
        <v>6</v>
      </c>
    </row>
    <row r="22" customFormat="false" ht="15" hidden="false" customHeight="false" outlineLevel="0" collapsed="false">
      <c r="A22" s="6" t="s">
        <v>113</v>
      </c>
      <c r="B22" s="10" t="n">
        <v>20</v>
      </c>
      <c r="C22" s="12" t="n">
        <v>0.01</v>
      </c>
      <c r="D22" s="12" t="n">
        <v>0</v>
      </c>
      <c r="E22" s="24" t="n">
        <v>1</v>
      </c>
      <c r="F22" s="13" t="n">
        <f aca="false">B22*E22*C22</f>
        <v>0.2</v>
      </c>
      <c r="G22" s="13" t="n">
        <f aca="false">B22*E22*$B$11</f>
        <v>4</v>
      </c>
    </row>
    <row r="23" customFormat="false" ht="15" hidden="false" customHeight="false" outlineLevel="0" collapsed="false">
      <c r="A23" s="6" t="s">
        <v>114</v>
      </c>
      <c r="F23" s="10" t="n">
        <v>0.35</v>
      </c>
    </row>
    <row r="24" customFormat="false" ht="15" hidden="false" customHeight="false" outlineLevel="0" collapsed="false">
      <c r="A24" s="6" t="s">
        <v>115</v>
      </c>
      <c r="F24" s="10" t="n">
        <v>0.6</v>
      </c>
    </row>
    <row r="25" customFormat="false" ht="15" hidden="false" customHeight="false" outlineLevel="0" collapsed="false">
      <c r="A25" s="6" t="s">
        <v>116</v>
      </c>
      <c r="F25" s="10" t="n">
        <v>0.4</v>
      </c>
    </row>
    <row r="27" customFormat="false" ht="15" hidden="false" customHeight="false" outlineLevel="0" collapsed="false">
      <c r="A27" s="5" t="s">
        <v>117</v>
      </c>
      <c r="B27" s="9"/>
      <c r="C27" s="9"/>
    </row>
    <row r="28" customFormat="false" ht="15" hidden="false" customHeight="false" outlineLevel="0" collapsed="false">
      <c r="A28" s="6" t="s">
        <v>118</v>
      </c>
      <c r="F28" s="13" t="n">
        <f aca="false">SUM(F16:F18)</f>
        <v>2.625</v>
      </c>
    </row>
    <row r="29" customFormat="false" ht="15" hidden="false" customHeight="false" outlineLevel="0" collapsed="false">
      <c r="A29" s="6" t="s">
        <v>119</v>
      </c>
      <c r="F29" s="13" t="n">
        <f aca="false">SUM(F19:F20)</f>
        <v>1.23</v>
      </c>
    </row>
    <row r="30" customFormat="false" ht="15" hidden="false" customHeight="false" outlineLevel="0" collapsed="false">
      <c r="A30" s="6" t="s">
        <v>120</v>
      </c>
      <c r="F30" s="13" t="n">
        <f aca="false">SUM(F21:F22)+SUM(F23:F25)</f>
        <v>1.7</v>
      </c>
    </row>
    <row r="31" customFormat="false" ht="15" hidden="false" customHeight="false" outlineLevel="0" collapsed="false">
      <c r="A31" s="3" t="s">
        <v>74</v>
      </c>
      <c r="F31" s="14" t="n">
        <f aca="false">F28+F29+F30</f>
        <v>5.555</v>
      </c>
    </row>
    <row r="32" customFormat="false" ht="15" hidden="false" customHeight="false" outlineLevel="0" collapsed="false">
      <c r="A32" s="6" t="s">
        <v>75</v>
      </c>
      <c r="F32" s="13" t="n">
        <f aca="false">F31*B8</f>
        <v>1.94425</v>
      </c>
    </row>
    <row r="33" customFormat="false" ht="15" hidden="false" customHeight="false" outlineLevel="0" collapsed="false">
      <c r="A33" s="6" t="s">
        <v>76</v>
      </c>
      <c r="F33" s="13" t="n">
        <f aca="false">B12*B6*SUM(G16:G22)</f>
        <v>0.243</v>
      </c>
      <c r="G33" s="11" t="s">
        <v>121</v>
      </c>
    </row>
    <row r="34" customFormat="false" ht="15" hidden="false" customHeight="false" outlineLevel="0" collapsed="false">
      <c r="A34" s="6" t="s">
        <v>78</v>
      </c>
      <c r="F34" s="13" t="n">
        <f aca="false">F31-F32-F33</f>
        <v>3.36775</v>
      </c>
    </row>
    <row r="35" customFormat="false" ht="15" hidden="false" customHeight="false" outlineLevel="0" collapsed="false">
      <c r="A35" s="6" t="s">
        <v>79</v>
      </c>
      <c r="F35" s="13" t="n">
        <f aca="false">MAX(0,F34*B9)</f>
        <v>0.847662675</v>
      </c>
    </row>
    <row r="36" customFormat="false" ht="15" hidden="false" customHeight="false" outlineLevel="0" collapsed="false">
      <c r="A36" s="3" t="s">
        <v>80</v>
      </c>
      <c r="F36" s="14" t="n">
        <f aca="false">F34-F35</f>
        <v>2.520087325</v>
      </c>
    </row>
    <row r="37" customFormat="false" ht="15" hidden="false" customHeight="false" outlineLevel="0" collapsed="false">
      <c r="A37" s="6" t="s">
        <v>82</v>
      </c>
      <c r="F37" s="13" t="n">
        <f aca="false">SUM(G16:G22)*B13</f>
        <v>67.5</v>
      </c>
    </row>
    <row r="38" customFormat="false" ht="15" hidden="false" customHeight="false" outlineLevel="0" collapsed="false">
      <c r="A38" s="6" t="s">
        <v>122</v>
      </c>
      <c r="F38" s="13" t="n">
        <f aca="false">F37*B7</f>
        <v>7.7625</v>
      </c>
    </row>
    <row r="39" customFormat="false" ht="15" hidden="false" customHeight="false" outlineLevel="0" collapsed="false">
      <c r="A39" s="3" t="s">
        <v>123</v>
      </c>
      <c r="F39" s="19" t="n">
        <f aca="false">IF(F38&gt;0,F36/F38,0)</f>
        <v>0.324648930756844</v>
      </c>
      <c r="G39" s="11" t="s">
        <v>85</v>
      </c>
    </row>
    <row r="40" customFormat="false" ht="15" hidden="false" customHeight="false" outlineLevel="0" collapsed="false">
      <c r="A40" s="6" t="s">
        <v>124</v>
      </c>
      <c r="F40" s="21" t="n">
        <f aca="false">IF(F38&gt;0,((F28*(1-B8)-B12*B6*SUM(G16:G18))*(1-B9))/(SUM(G16:G18)*B13*B7),0)</f>
        <v>0.154214869565217</v>
      </c>
      <c r="G40" s="11" t="s">
        <v>125</v>
      </c>
    </row>
    <row r="41" customFormat="false" ht="15" hidden="false" customHeight="false" outlineLevel="0" collapsed="false">
      <c r="A41" s="6" t="s">
        <v>126</v>
      </c>
      <c r="F41" s="21" t="n">
        <f aca="false">IF(F31&gt;0,(F29+F30)/F31,0)</f>
        <v>0.527452745274528</v>
      </c>
    </row>
    <row r="42" customFormat="false" ht="15" hidden="false" customHeight="false" outlineLevel="0" collapsed="false">
      <c r="A42" s="3" t="s">
        <v>86</v>
      </c>
      <c r="F42" s="3" t="str">
        <f aca="false">IF(F39&gt;=B10,"Above hurdle","Below hurdle")</f>
        <v>Above hurdle</v>
      </c>
    </row>
  </sheetData>
  <dataValidations count="1">
    <dataValidation allowBlank="false" errorStyle="stop" operator="between" showDropDown="false" showErrorMessage="false" showInputMessage="false" sqref="B5" type="list">
      <formula1>RatingTable!$A$5:$A$10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2026-09-29T01:48:53Z</dcterms:created>
  <dc:creator>openpyxl</dc:creator>
  <dc:description/>
  <dc:language>en-US</dc:language>
  <cp:lastModifiedBy/>
  <dcterms:modified xsi:type="dcterms:W3CDTF">2026-09-29T01:48:53Z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